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lierville\OneDrive - Cesi\Pro\Responsable TITRE\DI 2024\Evaluations\BLOC 2\Eval Bloc\"/>
    </mc:Choice>
  </mc:AlternateContent>
  <bookViews>
    <workbookView xWindow="28680" yWindow="-120" windowWidth="29040" windowHeight="15720"/>
  </bookViews>
  <sheets>
    <sheet name="Grille à points" sheetId="1" r:id="rId1"/>
  </sheets>
  <definedNames>
    <definedName name="_xlnm.Print_Area" localSheetId="0">'Grille à points'!$A$1:$H$51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9" i="1" l="1"/>
  <c r="H5" i="1" l="1"/>
  <c r="E49" i="1" l="1"/>
  <c r="H49" i="1" s="1"/>
  <c r="H13" i="1" s="1"/>
  <c r="H51" i="1" l="1"/>
  <c r="F51" i="1"/>
  <c r="D51" i="1"/>
  <c r="C51" i="1"/>
</calcChain>
</file>

<file path=xl/sharedStrings.xml><?xml version="1.0" encoding="utf-8"?>
<sst xmlns="http://schemas.openxmlformats.org/spreadsheetml/2006/main" count="41" uniqueCount="40">
  <si>
    <t>Promotion :</t>
  </si>
  <si>
    <t>Date :</t>
  </si>
  <si>
    <t>Nom-Prénom</t>
  </si>
  <si>
    <t>Note*</t>
  </si>
  <si>
    <t>*</t>
  </si>
  <si>
    <t>A : Acquis : les objectifs définis sont atteints</t>
  </si>
  <si>
    <t xml:space="preserve">B : Acquis : les objectifs définis sont partiellement atteints - écarts mineurs constatés </t>
  </si>
  <si>
    <t>C : Non acquis : les objectifs définis ne sont pas atteints - écarts majeurs constatés</t>
  </si>
  <si>
    <t>D : Non acquis : les objectifs définis ne sont pas atteints – écarts critiques constatés</t>
  </si>
  <si>
    <t>Evaluateur 1</t>
  </si>
  <si>
    <t>Evaluateur 2</t>
  </si>
  <si>
    <t>Evaluateur 3</t>
  </si>
  <si>
    <t>Commentaires :</t>
  </si>
  <si>
    <t>NOTATION</t>
  </si>
  <si>
    <t>Thèmes</t>
  </si>
  <si>
    <t>Critères</t>
  </si>
  <si>
    <t>Points à attribuer</t>
  </si>
  <si>
    <t>Points obtenus</t>
  </si>
  <si>
    <t>Commentaires/Argumentations</t>
  </si>
  <si>
    <t>Total :</t>
  </si>
  <si>
    <t>Note (lettre) :</t>
  </si>
  <si>
    <t>Conversion lettre</t>
  </si>
  <si>
    <t>Nom du module :</t>
  </si>
  <si>
    <t xml:space="preserve">Signature </t>
  </si>
  <si>
    <t>Lier l’application informatique à des données dynamiques en la connectant à une base de données</t>
  </si>
  <si>
    <t>Intégrer des bibliothèques avancées (génération de fichiers, authentification, etc.) ou des services tiers (API7, envoi de mail, etc.) dans l’application informatique</t>
  </si>
  <si>
    <t>Appliquer la méthode de gestion de projet déterminée par sa hiérarchie</t>
  </si>
  <si>
    <t>La méthode de gestion de projet retenue pour le développement de l’application informatique est présentée.</t>
  </si>
  <si>
    <t>Le découpage du projet et les jalons proposés sont cohérents avec les objectifs du projet. L’état d’avancement est présenté sous la forme tableau de bord visuel (Kanban par exemple).</t>
  </si>
  <si>
    <t>L’outil collaboratif utilisé pour le projet est présenté. Il permet de traiter au moins 2 fonctionnalités parmi le partage de données, la planification du projet, la visioconférence.</t>
  </si>
  <si>
    <t>Développer une application lourde à l’aide d’outils et langages pertinents en conformité avec les exigences du projet</t>
  </si>
  <si>
    <t>Un langage de type objet est utilisé pour la conception de l’application lourde. Les vues présentées répondent aux fonctionnalités attendues. Elles intègrent des éléments d’interaction (bouton, liste, navigation, grille, etc.).
L'élève sait parfaitement expliquer cette partie</t>
  </si>
  <si>
    <t>Le code est formalisé selon les règles de l’art (classes définies, attributs et méthodes corrects au regard des fonctionnalités attendues, etc.). Il est compréhensible, à la première lecture, par un acteur externe au projet de développement informatique  correctement commenté).
L'élève sait parfaitement expliquer cette partie</t>
  </si>
  <si>
    <t>L’application est compilée (lancement de l’application informatique et tests des fonctionnalités) L’ensemble des fonctionnalités exprimées dans le cahier des charges sont couvertes. L’application est déployée avec succès sur un poste utilisateur.
L'élève sait parfaitement expliquer cette partie</t>
  </si>
  <si>
    <t>L’application informatique est connectée à un SGBDR. Le lancement de 2 instances de l’application manipule la même base de données sans provoquer de dysfonctionnement.
L'élève sait parfaitement expliquer cette partie</t>
  </si>
  <si>
    <t>Les fonctions CRUD (Create, Read, Update, Delete) sont programmées et fonctionnelles, dans l’application informatique, pour au moins 2 entités dépendantes entre elles. Elles sont réalisées à l’aide de requêtes primitives.
L'élève sait parfaitement expliquer cette partie</t>
  </si>
  <si>
    <t>Les fonctions CRUD sont programmées et fonctionnelles, dans l’application informatique, pour au moins 2 entités dépendantes entre elles. Elles sont réalisées à l’aide d’un ORM.
L'élève sait parfaitement expliquer cette partie</t>
  </si>
  <si>
    <t>L’application intègre au moins une bibliothèque répondant à une fonctionnalité de l’application informatique (génération de PDF, élément graphique interactif, etc.). 
L’application intègre au moins un service distant (API) répondant à une fonctionnalité de l'aplication informatique.
L'élève sait parfaitement expliquer cette partie</t>
  </si>
  <si>
    <t>La démarche de veille est démontrée pour les bibliothèques et services utilisés. Les sources sont mentionnées. Les choix sont argumentés par des métriques disponibles (fréquence de mise à jour, popularité, score d’efficacité, etc.).</t>
  </si>
  <si>
    <t>INFDI2-Développer une application informatique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</si>
</sst>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0"/>
      <name val="Calibri"/>
      <family val="2"/>
      <scheme val="minor"/>
    </font>
    <font>
      <b/>
      <sz val="11"/>
      <color theme="1"/>
      <name val="Calibri"/>
      <family val="2"/>
      <scheme val="minor"/>
    </font>
    <font>
      <b/>
      <sz val="9"/>
      <color theme="1"/>
      <name val="Calibri"/>
      <family val="2"/>
      <scheme val="minor"/>
    </font>
    <font>
      <sz val="10"/>
      <color theme="1"/>
      <name val="Calibri"/>
      <family val="2"/>
      <scheme val="minor"/>
    </font>
    <font>
      <sz val="9"/>
      <color theme="1"/>
      <name val="Calibri"/>
      <family val="2"/>
      <scheme val="minor"/>
    </font>
    <font>
      <sz val="11"/>
      <color theme="0"/>
      <name val="Calibri"/>
      <family val="2"/>
      <scheme val="minor"/>
    </font>
    <font>
      <b/>
      <sz val="11"/>
      <name val="Calibri"/>
      <family val="2"/>
      <scheme val="minor"/>
    </font>
    <font>
      <b/>
      <sz val="8"/>
      <color theme="1"/>
      <name val="Calibri"/>
      <family val="2"/>
      <scheme val="minor"/>
    </font>
    <font>
      <b/>
      <sz val="18"/>
      <color theme="1"/>
      <name val="Calibri"/>
      <family val="2"/>
      <scheme val="minor"/>
    </font>
    <font>
      <b/>
      <sz val="14"/>
      <color theme="1"/>
      <name val="Calibri"/>
      <family val="2"/>
      <scheme val="minor"/>
    </font>
    <font>
      <b/>
      <sz val="18"/>
      <color theme="0"/>
      <name val="Calibri"/>
      <family val="2"/>
      <scheme val="minor"/>
    </font>
    <font>
      <sz val="4"/>
      <color theme="0"/>
      <name val="Calibri"/>
      <family val="2"/>
      <scheme val="minor"/>
    </font>
    <font>
      <b/>
      <sz val="10"/>
      <color theme="1"/>
      <name val="Calibri"/>
      <family val="2"/>
      <scheme val="minor"/>
    </font>
    <font>
      <sz val="9"/>
      <color theme="1"/>
      <name val="Calibri"/>
      <family val="2"/>
    </font>
  </fonts>
  <fills count="6">
    <fill>
      <patternFill patternType="none"/>
    </fill>
    <fill>
      <patternFill patternType="gray125"/>
    </fill>
    <fill>
      <patternFill patternType="solid">
        <fgColor theme="7"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111">
    <xf numFmtId="0" fontId="0" fillId="0" borderId="0" xfId="0"/>
    <xf numFmtId="0" fontId="2" fillId="0" borderId="9" xfId="0" applyFont="1" applyBorder="1" applyAlignment="1">
      <alignment horizontal="center" vertical="center" wrapText="1"/>
    </xf>
    <xf numFmtId="0" fontId="2" fillId="0" borderId="0" xfId="0" applyFont="1"/>
    <xf numFmtId="0" fontId="0" fillId="0" borderId="0" xfId="0"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0" xfId="0" applyFont="1" applyAlignment="1">
      <alignment horizontal="right"/>
    </xf>
    <xf numFmtId="0" fontId="5" fillId="0" borderId="0" xfId="0" applyFont="1"/>
    <xf numFmtId="0" fontId="7" fillId="0" borderId="2" xfId="0" applyFont="1" applyBorder="1" applyAlignment="1">
      <alignment horizontal="center"/>
    </xf>
    <xf numFmtId="0" fontId="1" fillId="3" borderId="2" xfId="0" applyFont="1" applyFill="1" applyBorder="1" applyAlignment="1">
      <alignment horizontal="center"/>
    </xf>
    <xf numFmtId="0" fontId="0" fillId="0" borderId="1" xfId="0"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right"/>
    </xf>
    <xf numFmtId="0" fontId="7" fillId="0" borderId="0" xfId="0" applyFont="1" applyAlignment="1">
      <alignment horizontal="center"/>
    </xf>
    <xf numFmtId="0" fontId="1" fillId="0" borderId="0" xfId="0" applyFont="1" applyAlignment="1">
      <alignment horizontal="center"/>
    </xf>
    <xf numFmtId="0" fontId="8" fillId="0" borderId="10" xfId="0" applyFont="1" applyBorder="1" applyAlignment="1">
      <alignment horizontal="center" vertical="center" wrapText="1"/>
    </xf>
    <xf numFmtId="0" fontId="9" fillId="0" borderId="0" xfId="0" applyFont="1"/>
    <xf numFmtId="0" fontId="9" fillId="0" borderId="0" xfId="0" applyFont="1" applyAlignment="1">
      <alignment horizontal="right"/>
    </xf>
    <xf numFmtId="0" fontId="6" fillId="0" borderId="0" xfId="0" applyFont="1" applyAlignment="1">
      <alignment vertical="center"/>
    </xf>
    <xf numFmtId="0" fontId="3" fillId="0" borderId="29" xfId="0" applyFont="1" applyBorder="1" applyAlignment="1">
      <alignment horizontal="center" vertical="center" wrapText="1"/>
    </xf>
    <xf numFmtId="0" fontId="2" fillId="0" borderId="32" xfId="0" applyFont="1" applyBorder="1" applyAlignment="1">
      <alignment vertical="top"/>
    </xf>
    <xf numFmtId="0" fontId="2" fillId="0" borderId="33" xfId="0" applyFont="1" applyBorder="1" applyAlignment="1">
      <alignment vertical="top"/>
    </xf>
    <xf numFmtId="0" fontId="2" fillId="0" borderId="34" xfId="0" applyFont="1" applyBorder="1" applyAlignment="1">
      <alignment vertical="top"/>
    </xf>
    <xf numFmtId="0" fontId="0" fillId="0" borderId="7" xfId="0" applyBorder="1" applyAlignment="1">
      <alignment horizontal="center" vertical="center"/>
    </xf>
    <xf numFmtId="0" fontId="10" fillId="0" borderId="0" xfId="0" applyFont="1" applyAlignment="1">
      <alignment horizontal="left" vertical="center"/>
    </xf>
    <xf numFmtId="0" fontId="10" fillId="0" borderId="0" xfId="0" applyFont="1" applyAlignment="1">
      <alignment vertical="center"/>
    </xf>
    <xf numFmtId="0" fontId="11" fillId="5" borderId="0" xfId="0" applyFont="1" applyFill="1" applyAlignment="1">
      <alignment horizontal="center" vertical="center"/>
    </xf>
    <xf numFmtId="0" fontId="9" fillId="0" borderId="0" xfId="0" applyFont="1" applyAlignment="1">
      <alignment horizontal="right" vertical="center"/>
    </xf>
    <xf numFmtId="0" fontId="2" fillId="0" borderId="0" xfId="0" quotePrefix="1" applyFont="1" applyAlignment="1">
      <alignment horizontal="right" vertical="center"/>
    </xf>
    <xf numFmtId="0" fontId="0" fillId="0" borderId="29" xfId="0" applyBorder="1" applyAlignment="1">
      <alignment horizontal="center" vertical="center"/>
    </xf>
    <xf numFmtId="0" fontId="0" fillId="0" borderId="2" xfId="0" applyBorder="1" applyAlignment="1">
      <alignment horizontal="center"/>
    </xf>
    <xf numFmtId="0" fontId="12" fillId="0" borderId="0" xfId="0" applyFont="1" applyAlignment="1">
      <alignment wrapText="1"/>
    </xf>
    <xf numFmtId="0" fontId="11" fillId="0" borderId="0" xfId="0" applyFont="1"/>
    <xf numFmtId="0" fontId="4" fillId="0" borderId="0" xfId="0" applyFont="1" applyAlignment="1">
      <alignment horizontal="center" vertical="center" wrapText="1"/>
    </xf>
    <xf numFmtId="0" fontId="4" fillId="0" borderId="35" xfId="0" applyFont="1" applyBorder="1" applyAlignment="1">
      <alignment horizontal="center" vertical="center"/>
    </xf>
    <xf numFmtId="0" fontId="2" fillId="0" borderId="0" xfId="0" applyFont="1" applyAlignment="1">
      <alignment horizontal="center" vertical="top"/>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wrapText="1"/>
    </xf>
    <xf numFmtId="0" fontId="0" fillId="0" borderId="6" xfId="0" applyBorder="1" applyAlignment="1">
      <alignment horizontal="center" vertical="center"/>
    </xf>
    <xf numFmtId="0" fontId="14" fillId="0" borderId="0" xfId="0" applyFont="1" applyAlignment="1">
      <alignment horizontal="left" vertical="center"/>
    </xf>
    <xf numFmtId="0" fontId="13" fillId="0" borderId="0" xfId="0" applyFont="1" applyAlignment="1">
      <alignment horizontal="right"/>
    </xf>
    <xf numFmtId="0" fontId="0" fillId="0" borderId="49" xfId="0" applyBorder="1" applyAlignment="1">
      <alignment horizontal="center" vertical="center"/>
    </xf>
    <xf numFmtId="0" fontId="4" fillId="0" borderId="48" xfId="0" applyFont="1" applyBorder="1" applyAlignment="1">
      <alignment horizontal="center" vertical="center"/>
    </xf>
    <xf numFmtId="0" fontId="4" fillId="0" borderId="0" xfId="0" applyFont="1" applyBorder="1" applyAlignment="1">
      <alignment horizontal="center" vertical="center"/>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2" fillId="0" borderId="7" xfId="0" applyFont="1" applyBorder="1" applyAlignment="1">
      <alignment horizontal="center" vertical="center"/>
    </xf>
    <xf numFmtId="0" fontId="2" fillId="0" borderId="44" xfId="0" applyFont="1" applyBorder="1" applyAlignment="1">
      <alignment horizontal="center" vertical="center"/>
    </xf>
    <xf numFmtId="0" fontId="2" fillId="0" borderId="1" xfId="0" applyFont="1" applyBorder="1" applyAlignment="1">
      <alignment horizontal="center" vertical="center"/>
    </xf>
    <xf numFmtId="0" fontId="2" fillId="0" borderId="17" xfId="0" applyFont="1" applyBorder="1" applyAlignment="1">
      <alignment horizontal="center" vertical="center"/>
    </xf>
    <xf numFmtId="0" fontId="2" fillId="0" borderId="6" xfId="0" applyFont="1" applyBorder="1" applyAlignment="1">
      <alignment horizontal="center" vertical="center"/>
    </xf>
    <xf numFmtId="0" fontId="2" fillId="0" borderId="20" xfId="0" applyFont="1" applyBorder="1" applyAlignment="1">
      <alignment horizontal="center" vertical="center"/>
    </xf>
    <xf numFmtId="0" fontId="2" fillId="0" borderId="23" xfId="0" applyFont="1" applyBorder="1" applyAlignment="1">
      <alignment horizontal="center" vertical="center" wrapText="1"/>
    </xf>
    <xf numFmtId="0" fontId="2" fillId="0" borderId="21" xfId="0" applyFont="1" applyBorder="1" applyAlignment="1">
      <alignment horizontal="center" vertical="center" wrapText="1"/>
    </xf>
    <xf numFmtId="0" fontId="4" fillId="0" borderId="44" xfId="0" applyFont="1" applyBorder="1" applyAlignment="1">
      <alignment horizontal="left" vertical="center" wrapText="1"/>
    </xf>
    <xf numFmtId="0" fontId="4" fillId="0" borderId="47" xfId="0" applyFont="1" applyBorder="1" applyAlignment="1">
      <alignment horizontal="left"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45" xfId="0" applyFont="1" applyBorder="1" applyAlignment="1">
      <alignment horizontal="left" vertical="center" wrapText="1"/>
    </xf>
    <xf numFmtId="0" fontId="4" fillId="0" borderId="46" xfId="0" applyFont="1" applyBorder="1" applyAlignment="1">
      <alignment horizontal="left" vertical="center" wrapText="1"/>
    </xf>
    <xf numFmtId="0" fontId="4" fillId="0" borderId="20" xfId="0" applyFont="1"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0" fontId="4" fillId="0" borderId="20" xfId="0" applyFont="1" applyBorder="1" applyAlignment="1">
      <alignment horizontal="left" vertical="center" wrapText="1"/>
    </xf>
    <xf numFmtId="0" fontId="4" fillId="0" borderId="41" xfId="0" applyFont="1" applyBorder="1" applyAlignment="1">
      <alignment horizontal="left" vertical="center" wrapText="1"/>
    </xf>
    <xf numFmtId="0" fontId="2" fillId="0" borderId="5" xfId="0" applyFont="1" applyBorder="1" applyAlignment="1">
      <alignment horizontal="center" vertical="center"/>
    </xf>
    <xf numFmtId="0" fontId="2" fillId="0" borderId="27" xfId="0" applyFont="1" applyBorder="1" applyAlignment="1">
      <alignment horizontal="center" vertical="center"/>
    </xf>
    <xf numFmtId="0" fontId="2" fillId="0" borderId="31" xfId="0" applyFont="1" applyBorder="1" applyAlignment="1">
      <alignment horizontal="center" vertical="top"/>
    </xf>
    <xf numFmtId="0" fontId="2" fillId="0" borderId="0" xfId="0" applyFont="1" applyAlignment="1">
      <alignment horizontal="center" vertical="top"/>
    </xf>
    <xf numFmtId="0" fontId="2" fillId="0" borderId="35" xfId="0" applyFont="1" applyBorder="1" applyAlignment="1">
      <alignment horizontal="center" vertical="top"/>
    </xf>
    <xf numFmtId="0" fontId="2" fillId="0" borderId="36" xfId="0" applyFont="1" applyBorder="1" applyAlignment="1">
      <alignment horizontal="center" vertical="top"/>
    </xf>
    <xf numFmtId="0" fontId="2" fillId="0" borderId="37" xfId="0" applyFont="1" applyBorder="1" applyAlignment="1">
      <alignment horizontal="center" vertical="top"/>
    </xf>
    <xf numFmtId="0" fontId="2" fillId="0" borderId="38" xfId="0" applyFont="1" applyBorder="1" applyAlignment="1">
      <alignment horizontal="center" vertical="top"/>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2" fillId="4" borderId="12" xfId="0" applyFont="1" applyFill="1" applyBorder="1" applyAlignment="1">
      <alignment horizontal="center" vertical="center"/>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30"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10" fillId="4" borderId="12" xfId="0" applyFont="1" applyFill="1" applyBorder="1" applyAlignment="1">
      <alignment horizontal="center" vertical="center"/>
    </xf>
    <xf numFmtId="0" fontId="10" fillId="4" borderId="28" xfId="0" applyFont="1" applyFill="1" applyBorder="1" applyAlignment="1">
      <alignment horizontal="center" vertical="center"/>
    </xf>
    <xf numFmtId="0" fontId="10" fillId="4" borderId="13" xfId="0" applyFont="1" applyFill="1" applyBorder="1" applyAlignment="1">
      <alignment horizontal="center" vertical="center"/>
    </xf>
    <xf numFmtId="0" fontId="2" fillId="0" borderId="28" xfId="0" applyFont="1"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4" xfId="0" applyFont="1" applyBorder="1" applyAlignment="1">
      <alignment horizontal="center" vertical="center"/>
    </xf>
    <xf numFmtId="0" fontId="2" fillId="0" borderId="2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2" fillId="0" borderId="12"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40" xfId="0" applyFont="1" applyBorder="1" applyAlignment="1">
      <alignment horizontal="center" vertical="center" wrapText="1"/>
    </xf>
    <xf numFmtId="0" fontId="4" fillId="0" borderId="17" xfId="0" applyFont="1" applyBorder="1" applyAlignment="1">
      <alignment horizontal="left" vertical="top" wrapText="1"/>
    </xf>
    <xf numFmtId="0" fontId="4" fillId="0" borderId="22" xfId="0" applyFont="1" applyBorder="1" applyAlignment="1">
      <alignment horizontal="left" vertical="top"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0"/>
  <sheetViews>
    <sheetView showGridLines="0" tabSelected="1" topLeftCell="A2" zoomScale="115" zoomScaleNormal="115" zoomScalePageLayoutView="130" workbookViewId="0">
      <selection activeCell="C6" sqref="C6"/>
    </sheetView>
  </sheetViews>
  <sheetFormatPr baseColWidth="10" defaultColWidth="11.42578125" defaultRowHeight="15" x14ac:dyDescent="0.25"/>
  <cols>
    <col min="1" max="1" width="21.5703125" customWidth="1"/>
    <col min="2" max="2" width="11.42578125" customWidth="1"/>
    <col min="3" max="3" width="37.28515625" customWidth="1"/>
    <col min="4" max="5" width="8.7109375" customWidth="1"/>
    <col min="6" max="6" width="9.5703125" customWidth="1"/>
    <col min="7" max="7" width="8.7109375" customWidth="1"/>
    <col min="8" max="8" width="16.7109375" customWidth="1"/>
  </cols>
  <sheetData>
    <row r="1" spans="1:8" ht="4.1500000000000004" customHeight="1" x14ac:dyDescent="0.25"/>
    <row r="2" spans="1:8" ht="4.1500000000000004" customHeight="1" x14ac:dyDescent="0.25"/>
    <row r="3" spans="1:8" ht="7.9" customHeight="1" x14ac:dyDescent="0.25"/>
    <row r="4" spans="1:8" s="19" customFormat="1" ht="7.9" customHeight="1" thickBot="1" x14ac:dyDescent="0.4">
      <c r="B4" s="20"/>
      <c r="C4" s="29"/>
      <c r="D4" s="29"/>
      <c r="E4" s="29"/>
      <c r="F4" s="29"/>
      <c r="G4" s="29"/>
      <c r="H4" s="35"/>
    </row>
    <row r="5" spans="1:8" ht="28.15" customHeight="1" thickBot="1" x14ac:dyDescent="0.3">
      <c r="B5" s="30" t="s">
        <v>22</v>
      </c>
      <c r="C5" s="91" t="s">
        <v>39</v>
      </c>
      <c r="D5" s="92"/>
      <c r="E5" s="92"/>
      <c r="F5" s="92"/>
      <c r="G5" s="93"/>
      <c r="H5" s="34" t="e">
        <f>RIGHT(#REF!,(LEN(#REF!)-SEARCH("-",#REF!)-1))</f>
        <v>#REF!</v>
      </c>
    </row>
    <row r="7" spans="1:8" ht="15.75" thickBot="1" x14ac:dyDescent="0.3"/>
    <row r="8" spans="1:8" ht="24" customHeight="1" thickBot="1" x14ac:dyDescent="0.3">
      <c r="A8" s="28" t="s">
        <v>0</v>
      </c>
      <c r="B8" s="78"/>
      <c r="C8" s="79"/>
      <c r="E8" s="27" t="s">
        <v>1</v>
      </c>
      <c r="F8" s="78"/>
      <c r="G8" s="79"/>
    </row>
    <row r="10" spans="1:8" ht="12.6" customHeight="1" x14ac:dyDescent="0.25"/>
    <row r="11" spans="1:8" ht="8.4499999999999993" customHeight="1" thickBot="1" x14ac:dyDescent="0.3"/>
    <row r="12" spans="1:8" ht="21" customHeight="1" thickBot="1" x14ac:dyDescent="0.3">
      <c r="A12" s="3"/>
      <c r="B12" s="85" t="s">
        <v>2</v>
      </c>
      <c r="C12" s="86"/>
      <c r="D12" s="87"/>
      <c r="H12" s="22" t="s">
        <v>3</v>
      </c>
    </row>
    <row r="13" spans="1:8" s="3" customFormat="1" ht="33.6" customHeight="1" thickBot="1" x14ac:dyDescent="0.3">
      <c r="A13" s="12"/>
      <c r="B13" s="70"/>
      <c r="C13" s="55"/>
      <c r="D13" s="71"/>
      <c r="E13"/>
      <c r="F13"/>
      <c r="G13" s="21"/>
      <c r="H13" s="32" t="str">
        <f>H49</f>
        <v/>
      </c>
    </row>
    <row r="14" spans="1:8" s="3" customFormat="1" ht="14.45" customHeight="1" x14ac:dyDescent="0.25">
      <c r="A14" s="12"/>
      <c r="B14" s="13"/>
      <c r="C14" s="13"/>
      <c r="D14" s="13"/>
      <c r="E14"/>
      <c r="F14"/>
      <c r="G14" s="21"/>
      <c r="H14" s="14"/>
    </row>
    <row r="15" spans="1:8" s="3" customFormat="1" ht="15" customHeight="1" x14ac:dyDescent="0.25">
      <c r="A15" s="31" t="s">
        <v>4</v>
      </c>
      <c r="B15" s="44" t="s">
        <v>5</v>
      </c>
      <c r="D15" s="13"/>
      <c r="E15" s="14"/>
      <c r="F15" s="14"/>
      <c r="G15" s="21"/>
      <c r="H15" s="14"/>
    </row>
    <row r="16" spans="1:8" s="3" customFormat="1" ht="15" customHeight="1" x14ac:dyDescent="0.25">
      <c r="A16" s="12"/>
      <c r="B16" s="44" t="s">
        <v>6</v>
      </c>
      <c r="D16" s="13"/>
      <c r="E16" s="14"/>
      <c r="F16" s="14"/>
      <c r="G16" s="21"/>
      <c r="H16" s="14"/>
    </row>
    <row r="17" spans="1:8" s="3" customFormat="1" ht="15" customHeight="1" x14ac:dyDescent="0.25">
      <c r="A17" s="12"/>
      <c r="B17" s="44" t="s">
        <v>7</v>
      </c>
      <c r="D17" s="13"/>
      <c r="E17" s="14"/>
      <c r="F17" s="14"/>
      <c r="G17" s="21"/>
      <c r="H17" s="14"/>
    </row>
    <row r="18" spans="1:8" s="3" customFormat="1" ht="15" customHeight="1" x14ac:dyDescent="0.25">
      <c r="A18" s="12"/>
      <c r="B18" s="44" t="s">
        <v>8</v>
      </c>
      <c r="D18" s="13"/>
      <c r="E18" s="14"/>
      <c r="F18" s="14"/>
      <c r="G18" s="21"/>
      <c r="H18" s="14"/>
    </row>
    <row r="19" spans="1:8" s="3" customFormat="1" ht="19.149999999999999" customHeight="1" thickBot="1" x14ac:dyDescent="0.3">
      <c r="A19" s="12"/>
      <c r="B19" s="13"/>
      <c r="C19" s="13"/>
      <c r="D19" s="13"/>
      <c r="E19" s="14"/>
      <c r="F19" s="14"/>
      <c r="G19" s="21"/>
      <c r="H19" s="14"/>
    </row>
    <row r="20" spans="1:8" ht="15.75" thickBot="1" x14ac:dyDescent="0.3">
      <c r="A20" s="2"/>
      <c r="B20" s="88" t="s">
        <v>2</v>
      </c>
      <c r="C20" s="89"/>
      <c r="D20" s="90"/>
      <c r="E20" s="94" t="s">
        <v>23</v>
      </c>
      <c r="F20" s="94"/>
      <c r="G20" s="95"/>
    </row>
    <row r="21" spans="1:8" ht="37.15" customHeight="1" x14ac:dyDescent="0.25">
      <c r="A21" s="4" t="s">
        <v>9</v>
      </c>
      <c r="B21" s="51"/>
      <c r="C21" s="51"/>
      <c r="D21" s="52"/>
      <c r="E21" s="96"/>
      <c r="F21" s="97"/>
      <c r="G21" s="98"/>
      <c r="H21" s="12"/>
    </row>
    <row r="22" spans="1:8" ht="37.15" customHeight="1" x14ac:dyDescent="0.25">
      <c r="A22" s="5" t="s">
        <v>10</v>
      </c>
      <c r="B22" s="53"/>
      <c r="C22" s="53"/>
      <c r="D22" s="54"/>
      <c r="E22" s="99"/>
      <c r="F22" s="53"/>
      <c r="G22" s="100"/>
      <c r="H22" s="12"/>
    </row>
    <row r="23" spans="1:8" ht="37.15" customHeight="1" thickBot="1" x14ac:dyDescent="0.3">
      <c r="A23" s="6" t="s">
        <v>11</v>
      </c>
      <c r="B23" s="55"/>
      <c r="C23" s="55"/>
      <c r="D23" s="56"/>
      <c r="E23" s="70"/>
      <c r="F23" s="55"/>
      <c r="G23" s="71"/>
      <c r="H23" s="12"/>
    </row>
    <row r="24" spans="1:8" ht="21" customHeight="1" thickBot="1" x14ac:dyDescent="0.3">
      <c r="A24" s="12"/>
      <c r="B24" s="13"/>
      <c r="C24" s="13"/>
      <c r="D24" s="13"/>
      <c r="E24" s="12"/>
      <c r="F24" s="12"/>
      <c r="G24" s="12"/>
      <c r="H24" s="12"/>
    </row>
    <row r="25" spans="1:8" ht="21" customHeight="1" x14ac:dyDescent="0.25">
      <c r="A25" s="23" t="s">
        <v>12</v>
      </c>
      <c r="B25" s="24"/>
      <c r="C25" s="24"/>
      <c r="D25" s="24"/>
      <c r="E25" s="24"/>
      <c r="F25" s="24"/>
      <c r="G25" s="24"/>
      <c r="H25" s="25"/>
    </row>
    <row r="26" spans="1:8" ht="16.899999999999999" customHeight="1" x14ac:dyDescent="0.25">
      <c r="A26" s="72"/>
      <c r="B26" s="73"/>
      <c r="C26" s="73"/>
      <c r="D26" s="73"/>
      <c r="E26" s="73"/>
      <c r="F26" s="73"/>
      <c r="G26" s="73"/>
      <c r="H26" s="74"/>
    </row>
    <row r="27" spans="1:8" ht="16.899999999999999" customHeight="1" x14ac:dyDescent="0.25">
      <c r="A27" s="72"/>
      <c r="B27" s="73"/>
      <c r="C27" s="73"/>
      <c r="D27" s="73"/>
      <c r="E27" s="73"/>
      <c r="F27" s="73"/>
      <c r="G27" s="73"/>
      <c r="H27" s="74"/>
    </row>
    <row r="28" spans="1:8" ht="16.899999999999999" customHeight="1" x14ac:dyDescent="0.25">
      <c r="A28" s="72"/>
      <c r="B28" s="73"/>
      <c r="C28" s="73"/>
      <c r="D28" s="73"/>
      <c r="E28" s="73"/>
      <c r="F28" s="73"/>
      <c r="G28" s="73"/>
      <c r="H28" s="74"/>
    </row>
    <row r="29" spans="1:8" ht="16.899999999999999" customHeight="1" x14ac:dyDescent="0.25">
      <c r="A29" s="72"/>
      <c r="B29" s="73"/>
      <c r="C29" s="73"/>
      <c r="D29" s="73"/>
      <c r="E29" s="73"/>
      <c r="F29" s="73"/>
      <c r="G29" s="73"/>
      <c r="H29" s="74"/>
    </row>
    <row r="30" spans="1:8" ht="16.899999999999999" customHeight="1" x14ac:dyDescent="0.25">
      <c r="A30" s="72"/>
      <c r="B30" s="73"/>
      <c r="C30" s="73"/>
      <c r="D30" s="73"/>
      <c r="E30" s="73"/>
      <c r="F30" s="73"/>
      <c r="G30" s="73"/>
      <c r="H30" s="74"/>
    </row>
    <row r="31" spans="1:8" ht="16.899999999999999" customHeight="1" thickBot="1" x14ac:dyDescent="0.3">
      <c r="A31" s="75"/>
      <c r="B31" s="76"/>
      <c r="C31" s="76"/>
      <c r="D31" s="76"/>
      <c r="E31" s="76"/>
      <c r="F31" s="76"/>
      <c r="G31" s="76"/>
      <c r="H31" s="77"/>
    </row>
    <row r="32" spans="1:8" ht="16.899999999999999" customHeight="1" x14ac:dyDescent="0.25">
      <c r="A32" s="38"/>
      <c r="B32" s="38"/>
      <c r="C32" s="38"/>
      <c r="D32" s="38"/>
      <c r="E32" s="38"/>
      <c r="F32" s="38"/>
      <c r="G32" s="38"/>
      <c r="H32" s="38"/>
    </row>
    <row r="33" spans="1:8" s="3" customFormat="1" ht="12.6" customHeight="1" thickBot="1" x14ac:dyDescent="0.3">
      <c r="A33" s="12"/>
      <c r="B33" s="13"/>
      <c r="C33" s="13"/>
      <c r="D33" s="13"/>
      <c r="E33" s="14"/>
      <c r="F33" s="14"/>
      <c r="G33" s="14"/>
    </row>
    <row r="34" spans="1:8" ht="15.75" thickBot="1" x14ac:dyDescent="0.3">
      <c r="A34" s="80" t="s">
        <v>13</v>
      </c>
      <c r="B34" s="81"/>
      <c r="C34" s="81"/>
      <c r="D34" s="81"/>
      <c r="E34" s="81"/>
      <c r="F34" s="81"/>
      <c r="G34" s="81"/>
      <c r="H34" s="82"/>
    </row>
    <row r="35" spans="1:8" ht="15.75" thickBot="1" x14ac:dyDescent="0.3"/>
    <row r="36" spans="1:8" ht="23.25" thickBot="1" x14ac:dyDescent="0.3">
      <c r="A36" s="1" t="s">
        <v>14</v>
      </c>
      <c r="B36" s="57" t="s">
        <v>15</v>
      </c>
      <c r="C36" s="58"/>
      <c r="D36" s="18" t="s">
        <v>16</v>
      </c>
      <c r="E36" s="18" t="s">
        <v>17</v>
      </c>
      <c r="F36" s="83" t="s">
        <v>18</v>
      </c>
      <c r="G36" s="83"/>
      <c r="H36" s="84"/>
    </row>
    <row r="37" spans="1:8" ht="72.75" customHeight="1" x14ac:dyDescent="0.25">
      <c r="A37" s="105" t="s">
        <v>30</v>
      </c>
      <c r="B37" s="49" t="s">
        <v>31</v>
      </c>
      <c r="C37" s="50"/>
      <c r="D37" s="26">
        <v>1</v>
      </c>
      <c r="E37" s="26"/>
      <c r="F37" s="61"/>
      <c r="G37" s="61"/>
      <c r="H37" s="62"/>
    </row>
    <row r="38" spans="1:8" ht="82.5" customHeight="1" x14ac:dyDescent="0.25">
      <c r="A38" s="106"/>
      <c r="B38" s="108" t="s">
        <v>32</v>
      </c>
      <c r="C38" s="109"/>
      <c r="D38" s="11">
        <v>4</v>
      </c>
      <c r="E38" s="11"/>
      <c r="F38" s="101"/>
      <c r="G38" s="102"/>
      <c r="H38" s="103"/>
    </row>
    <row r="39" spans="1:8" ht="84" customHeight="1" thickBot="1" x14ac:dyDescent="0.3">
      <c r="A39" s="107"/>
      <c r="B39" s="68" t="s">
        <v>33</v>
      </c>
      <c r="C39" s="69"/>
      <c r="D39" s="43">
        <v>3</v>
      </c>
      <c r="E39" s="43"/>
      <c r="F39" s="65"/>
      <c r="G39" s="66"/>
      <c r="H39" s="67"/>
    </row>
    <row r="40" spans="1:8" ht="55.5" customHeight="1" x14ac:dyDescent="0.25">
      <c r="A40" s="105" t="s">
        <v>24</v>
      </c>
      <c r="B40" s="59" t="s">
        <v>34</v>
      </c>
      <c r="C40" s="60"/>
      <c r="D40" s="26">
        <v>1</v>
      </c>
      <c r="E40" s="26"/>
      <c r="F40" s="61"/>
      <c r="G40" s="61"/>
      <c r="H40" s="62"/>
    </row>
    <row r="41" spans="1:8" ht="73.5" customHeight="1" x14ac:dyDescent="0.25">
      <c r="A41" s="106"/>
      <c r="B41" s="110" t="s">
        <v>35</v>
      </c>
      <c r="C41" s="110"/>
      <c r="D41" s="46">
        <v>4</v>
      </c>
      <c r="E41" s="46"/>
      <c r="F41" s="47"/>
      <c r="G41" s="48"/>
      <c r="H41" s="37"/>
    </row>
    <row r="42" spans="1:8" ht="69" customHeight="1" thickBot="1" x14ac:dyDescent="0.3">
      <c r="A42" s="107"/>
      <c r="B42" s="63" t="s">
        <v>36</v>
      </c>
      <c r="C42" s="64"/>
      <c r="D42" s="43">
        <v>2</v>
      </c>
      <c r="E42" s="43"/>
      <c r="F42" s="65"/>
      <c r="G42" s="66"/>
      <c r="H42" s="67"/>
    </row>
    <row r="43" spans="1:8" ht="68.25" customHeight="1" x14ac:dyDescent="0.25">
      <c r="A43" s="105" t="s">
        <v>25</v>
      </c>
      <c r="B43" s="59" t="s">
        <v>38</v>
      </c>
      <c r="C43" s="60"/>
      <c r="D43" s="26">
        <v>1</v>
      </c>
      <c r="E43" s="26"/>
      <c r="F43" s="61"/>
      <c r="G43" s="61"/>
      <c r="H43" s="62"/>
    </row>
    <row r="44" spans="1:8" ht="88.5" customHeight="1" thickBot="1" x14ac:dyDescent="0.3">
      <c r="A44" s="106"/>
      <c r="B44" s="68" t="s">
        <v>37</v>
      </c>
      <c r="C44" s="69"/>
      <c r="D44" s="43">
        <v>1</v>
      </c>
      <c r="E44" s="43"/>
      <c r="F44" s="65"/>
      <c r="G44" s="66"/>
      <c r="H44" s="67"/>
    </row>
    <row r="45" spans="1:8" ht="43.9" customHeight="1" x14ac:dyDescent="0.25">
      <c r="A45" s="105" t="s">
        <v>26</v>
      </c>
      <c r="B45" s="59" t="s">
        <v>27</v>
      </c>
      <c r="C45" s="60"/>
      <c r="D45" s="26">
        <v>1</v>
      </c>
      <c r="E45" s="26"/>
      <c r="F45" s="61"/>
      <c r="G45" s="61"/>
      <c r="H45" s="62"/>
    </row>
    <row r="46" spans="1:8" ht="56.25" customHeight="1" x14ac:dyDescent="0.25">
      <c r="A46" s="106"/>
      <c r="B46" s="49" t="s">
        <v>28</v>
      </c>
      <c r="C46" s="50"/>
      <c r="D46" s="11">
        <v>1</v>
      </c>
      <c r="E46" s="11"/>
      <c r="F46" s="101"/>
      <c r="G46" s="102"/>
      <c r="H46" s="103"/>
    </row>
    <row r="47" spans="1:8" ht="43.9" customHeight="1" thickBot="1" x14ac:dyDescent="0.3">
      <c r="A47" s="107"/>
      <c r="B47" s="63" t="s">
        <v>29</v>
      </c>
      <c r="C47" s="64"/>
      <c r="D47" s="43">
        <v>1</v>
      </c>
      <c r="E47" s="43"/>
      <c r="F47" s="65"/>
      <c r="G47" s="66"/>
      <c r="H47" s="67"/>
    </row>
    <row r="48" spans="1:8" ht="15.75" thickBot="1" x14ac:dyDescent="0.3">
      <c r="A48" s="36"/>
      <c r="B48" s="42"/>
      <c r="C48" s="42"/>
      <c r="D48" s="14"/>
      <c r="E48" s="14"/>
      <c r="F48" s="41"/>
      <c r="G48" s="41"/>
      <c r="H48" s="37"/>
    </row>
    <row r="49" spans="1:8" x14ac:dyDescent="0.25">
      <c r="C49" s="7" t="s">
        <v>19</v>
      </c>
      <c r="D49" s="10">
        <f>SUM(D37:D47)</f>
        <v>20</v>
      </c>
      <c r="E49" s="9" t="str">
        <f>IF(COUNTA(E37:E47)=0,"",SUM(E37:E47))</f>
        <v/>
      </c>
      <c r="F49" s="8"/>
      <c r="G49" s="45" t="s">
        <v>20</v>
      </c>
      <c r="H49" s="33" t="str">
        <f>IF(E49="","",IF(E49&gt;=MROUND(15.99*D49/20,1),"A",IF(E49&gt;=MROUND(12*D49/20,1),"B",IF(E49&gt;=MROUND(8*D49/20,1),"C","D"))))</f>
        <v/>
      </c>
    </row>
    <row r="50" spans="1:8" ht="15.75" thickBot="1" x14ac:dyDescent="0.3"/>
    <row r="51" spans="1:8" ht="30.75" thickBot="1" x14ac:dyDescent="0.3">
      <c r="A51" s="104" t="s">
        <v>21</v>
      </c>
      <c r="B51" s="58"/>
      <c r="C51" s="39" t="str">
        <f>"De "&amp;MROUND(15.99*D49/20,1)&amp;" à "&amp; D49 &amp;""&amp; CHAR(10) &amp; " =  A"</f>
        <v>De 16 à 20
 =  A</v>
      </c>
      <c r="D51" s="83" t="str">
        <f>"De "&amp;MROUND(12*D49/20,1)&amp;" à "&amp; MROUND(15.99*D49/20,1)-0.01 &amp;""&amp;CHAR(10)&amp; " =  B"</f>
        <v>De 12 à 15,99
 =  B</v>
      </c>
      <c r="E51" s="83"/>
      <c r="F51" s="83" t="str">
        <f>"De "&amp;MROUND(8*D49/20,1)&amp;" à "&amp; MROUND(12*D49/20,1)-0.01 &amp;""&amp;CHAR(10)&amp; " =  C"</f>
        <v>De 8 à 11,99
 =  C</v>
      </c>
      <c r="G51" s="83"/>
      <c r="H51" s="40" t="str">
        <f>"De "&amp;0&amp;" à "&amp; MROUND(8*D49/20,1)-0.01 &amp;""&amp;CHAR(10)&amp; " =  D"</f>
        <v>De 0 à 7,99
 =  D</v>
      </c>
    </row>
    <row r="68" spans="3:7" x14ac:dyDescent="0.25">
      <c r="C68" s="7"/>
      <c r="D68" s="17"/>
      <c r="E68" s="16"/>
      <c r="F68" s="8"/>
      <c r="G68" s="15"/>
    </row>
    <row r="69" spans="3:7" x14ac:dyDescent="0.25">
      <c r="C69" s="7"/>
      <c r="D69" s="17"/>
      <c r="E69" s="16"/>
      <c r="F69" s="8"/>
      <c r="G69" s="15"/>
    </row>
    <row r="70" spans="3:7" x14ac:dyDescent="0.25">
      <c r="C70" s="7"/>
      <c r="D70" s="17"/>
      <c r="E70" s="16"/>
      <c r="F70" s="8"/>
      <c r="G70" s="15"/>
    </row>
  </sheetData>
  <mergeCells count="45">
    <mergeCell ref="F46:H46"/>
    <mergeCell ref="B47:C47"/>
    <mergeCell ref="F47:H47"/>
    <mergeCell ref="B41:C41"/>
    <mergeCell ref="D51:E51"/>
    <mergeCell ref="F51:G51"/>
    <mergeCell ref="F38:H38"/>
    <mergeCell ref="F39:H39"/>
    <mergeCell ref="A51:B51"/>
    <mergeCell ref="A45:A47"/>
    <mergeCell ref="A43:A44"/>
    <mergeCell ref="B43:C43"/>
    <mergeCell ref="F43:H43"/>
    <mergeCell ref="B44:C44"/>
    <mergeCell ref="F44:H44"/>
    <mergeCell ref="B45:C45"/>
    <mergeCell ref="F45:H45"/>
    <mergeCell ref="B46:C46"/>
    <mergeCell ref="A37:A39"/>
    <mergeCell ref="A40:A42"/>
    <mergeCell ref="F37:H37"/>
    <mergeCell ref="B38:C38"/>
    <mergeCell ref="C5:G5"/>
    <mergeCell ref="B13:D13"/>
    <mergeCell ref="E20:G20"/>
    <mergeCell ref="E21:G21"/>
    <mergeCell ref="E22:G22"/>
    <mergeCell ref="E23:G23"/>
    <mergeCell ref="A26:H31"/>
    <mergeCell ref="F8:G8"/>
    <mergeCell ref="A34:H34"/>
    <mergeCell ref="F36:H36"/>
    <mergeCell ref="B12:D12"/>
    <mergeCell ref="B8:C8"/>
    <mergeCell ref="B20:D20"/>
    <mergeCell ref="B40:C40"/>
    <mergeCell ref="F40:H40"/>
    <mergeCell ref="B42:C42"/>
    <mergeCell ref="F42:H42"/>
    <mergeCell ref="B39:C39"/>
    <mergeCell ref="B37:C37"/>
    <mergeCell ref="B21:D21"/>
    <mergeCell ref="B22:D22"/>
    <mergeCell ref="B23:D23"/>
    <mergeCell ref="B36:C36"/>
  </mergeCells>
  <printOptions horizontalCentered="1"/>
  <pageMargins left="0.23622047244094491" right="0.23622047244094491" top="0.55118110236220474" bottom="0.35433070866141736" header="0.11811023622047245" footer="0.11811023622047245"/>
  <pageSetup paperSize="9" scale="62" orientation="portrait" r:id="rId1"/>
  <headerFooter>
    <oddHeader>&amp;L&amp;G&amp;R&amp;"-,Gras"&amp;14
Grille d'évaluation
&amp;12Bloc de compétences</oddHeader>
    <oddFooter>&amp;L&amp;F&amp;R&amp;P/&amp;N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BAC606B067744998252C87DAD935C5" ma:contentTypeVersion="9" ma:contentTypeDescription="Crée un document." ma:contentTypeScope="" ma:versionID="b5e0f87635a1d60551770770ae8e0e90">
  <xsd:schema xmlns:xsd="http://www.w3.org/2001/XMLSchema" xmlns:xs="http://www.w3.org/2001/XMLSchema" xmlns:p="http://schemas.microsoft.com/office/2006/metadata/properties" xmlns:ns2="32548cb5-7b3f-4baf-81bb-c65e39a20e18" targetNamespace="http://schemas.microsoft.com/office/2006/metadata/properties" ma:root="true" ma:fieldsID="e402a7fb6feed7eec222e6c7b7f93718" ns2:_="">
    <xsd:import namespace="32548cb5-7b3f-4baf-81bb-c65e39a20e1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548cb5-7b3f-4baf-81bb-c65e39a20e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FA3659-DA5E-4969-A43A-281D9470312E}">
  <ds:schemaRefs>
    <ds:schemaRef ds:uri="http://schemas.microsoft.com/sharepoint/v3/contenttype/forms"/>
  </ds:schemaRefs>
</ds:datastoreItem>
</file>

<file path=customXml/itemProps2.xml><?xml version="1.0" encoding="utf-8"?>
<ds:datastoreItem xmlns:ds="http://schemas.openxmlformats.org/officeDocument/2006/customXml" ds:itemID="{29A784B5-79F0-4114-8FF4-E23A76592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548cb5-7b3f-4baf-81bb-c65e39a20e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87EB68-DA5B-4281-B8CF-886439A05AF6}">
  <ds:schemaRefs>
    <ds:schemaRef ds:uri="http://schemas.microsoft.com/office/2006/documentManagement/types"/>
    <ds:schemaRef ds:uri="http://www.w3.org/XML/1998/namespace"/>
    <ds:schemaRef ds:uri="http://schemas.microsoft.com/office/2006/metadata/properties"/>
    <ds:schemaRef ds:uri="http://purl.org/dc/elements/1.1/"/>
    <ds:schemaRef ds:uri="http://purl.org/dc/terms/"/>
    <ds:schemaRef ds:uri="http://purl.org/dc/dcmitype/"/>
    <ds:schemaRef ds:uri="http://schemas.microsoft.com/office/infopath/2007/PartnerControls"/>
    <ds:schemaRef ds:uri="http://schemas.openxmlformats.org/package/2006/metadata/core-properties"/>
    <ds:schemaRef ds:uri="32548cb5-7b3f-4baf-81bb-c65e39a20e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Grille à points</vt:lpstr>
      <vt:lpstr>'Grille à points'!Zone_d_impression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FACON Cédric</dc:creator>
  <cp:keywords/>
  <dc:description/>
  <cp:lastModifiedBy>LIERVILLE Fabien</cp:lastModifiedBy>
  <cp:revision/>
  <cp:lastPrinted>2024-06-17T14:18:59Z</cp:lastPrinted>
  <dcterms:created xsi:type="dcterms:W3CDTF">2020-02-01T09:20:16Z</dcterms:created>
  <dcterms:modified xsi:type="dcterms:W3CDTF">2025-11-26T10:37:03Z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0x01010049BAC606B067744998252C87DAD935C5</vt:lpwstr>
  </property>
</Properties>
</file>